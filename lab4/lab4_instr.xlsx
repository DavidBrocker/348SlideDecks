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 4 Key" sheetId="1" r:id="rId1"/>
  </sheets>
  <calcPr calcId="124519" fullCalcOnLoad="1"/>
</workbook>
</file>

<file path=xl/sharedStrings.xml><?xml version="1.0" encoding="utf-8"?>
<sst xmlns="http://schemas.openxmlformats.org/spreadsheetml/2006/main" count="120" uniqueCount="96">
  <si>
    <t>Lab 4: Instructions and Walkthrough (Excel version)</t>
  </si>
  <si>
    <t>Yellow cells are inputs; change them and every answer below updates. Mirrors lab4_instr.qmd.</t>
  </si>
  <si>
    <t>Inputs: PSY 348 midterm, 40 students, approximately normal</t>
  </si>
  <si>
    <t>Quantity</t>
  </si>
  <si>
    <t>Value</t>
  </si>
  <si>
    <t>Note</t>
  </si>
  <si>
    <t>R object</t>
  </si>
  <si>
    <t>Population mean (mu)</t>
  </si>
  <si>
    <t>Class mean</t>
  </si>
  <si>
    <t>mu &lt;- 76</t>
  </si>
  <si>
    <t>Population SD (sigma)</t>
  </si>
  <si>
    <t>Class SD</t>
  </si>
  <si>
    <t>sigma &lt;- 8</t>
  </si>
  <si>
    <t>Class size (n)</t>
  </si>
  <si>
    <t>Original class</t>
  </si>
  <si>
    <t>n &lt;- 40</t>
  </si>
  <si>
    <t>Student score (x)</t>
  </si>
  <si>
    <t>Q1-Q2 score</t>
  </si>
  <si>
    <t>x &lt;- 70</t>
  </si>
  <si>
    <t>Smaller sample (n2)</t>
  </si>
  <si>
    <t>Q4-Q5</t>
  </si>
  <si>
    <t>n2 &lt;- 25</t>
  </si>
  <si>
    <t>Larger sample (n3)</t>
  </si>
  <si>
    <t>Q4</t>
  </si>
  <si>
    <t>n3 &lt;- 100</t>
  </si>
  <si>
    <t>Observed class mean</t>
  </si>
  <si>
    <t>Q5 class of 25</t>
  </si>
  <si>
    <t>m2 &lt;- 79</t>
  </si>
  <si>
    <t>Bottom proportion</t>
  </si>
  <si>
    <t>Q3</t>
  </si>
  <si>
    <t>p &lt;- 0.25</t>
  </si>
  <si>
    <t>Alpha</t>
  </si>
  <si>
    <t>Q5 two-tailed</t>
  </si>
  <si>
    <t>alpha &lt;- 0.05</t>
  </si>
  <si>
    <t>Q1. z-score for a student who scored 70. Above or below average?</t>
  </si>
  <si>
    <t>Step</t>
  </si>
  <si>
    <t>Result</t>
  </si>
  <si>
    <t>Explanation</t>
  </si>
  <si>
    <t>Equivalent in R (all arguments named)</t>
  </si>
  <si>
    <t>z = (x - mu) / sigma</t>
  </si>
  <si>
    <t>z = (70 - 76) / 8 = -0.75. Negative z: the score is 0.75 SD below the mean.</t>
  </si>
  <si>
    <t>z &lt;- (x - mu) / sigma</t>
  </si>
  <si>
    <t>Above or below average?</t>
  </si>
  <si>
    <t>70 is less than 76, so it is below average.</t>
  </si>
  <si>
    <t>Q2. Proportion of the population scoring below 70</t>
  </si>
  <si>
    <t>P(score &lt; 70), raw score</t>
  </si>
  <si>
    <t>Road 1: raw score with the real mean and SD.</t>
  </si>
  <si>
    <t>pnorm(q = 70, mean = 76, sd = 8, lower.tail = TRUE)</t>
  </si>
  <si>
    <t>P(score &lt; 70), via z</t>
  </si>
  <si>
    <t>Road 2: standardize first, then the standard normal. Same answer.</t>
  </si>
  <si>
    <t>pnorm(q = -0.75, mean = 0, sd = 1, lower.tail = TRUE)</t>
  </si>
  <si>
    <t>As a percent</t>
  </si>
  <si>
    <t>About 22.7% of students scored below 70.</t>
  </si>
  <si>
    <t>Q3. Raw score that marks the bottom 25%</t>
  </si>
  <si>
    <t>Cutoff score</t>
  </si>
  <si>
    <t>Reverse direction: probability in, score out. About 70.6.</t>
  </si>
  <si>
    <t>qnorm(p = 0.25, mean = 76, sd = 8, lower.tail = TRUE)</t>
  </si>
  <si>
    <t>Q4. Standard error at n = 25 and n = 100</t>
  </si>
  <si>
    <t>SE, n = 25</t>
  </si>
  <si>
    <t>sigma / sqrt(n) = 8 / 5</t>
  </si>
  <si>
    <t>sigma / sqrt(x = 25)</t>
  </si>
  <si>
    <t>SE, n = 100</t>
  </si>
  <si>
    <t>sigma / sqrt(n) = 8 / 10</t>
  </si>
  <si>
    <t>sigma / sqrt(x = 100)</t>
  </si>
  <si>
    <t>Shrink factor (SE100 / SE25)</t>
  </si>
  <si>
    <t>The SE shrank to half its size: quadrupling n cuts SE by half.</t>
  </si>
  <si>
    <t>se_100 / se_25</t>
  </si>
  <si>
    <t>Q5. Class of n = 25 averaged 79: two-tailed z-test against mu = 76</t>
  </si>
  <si>
    <t>Standard error</t>
  </si>
  <si>
    <t>Use the NEW n (25), not 40. The old n = 40 does not enter this test.</t>
  </si>
  <si>
    <t>se &lt;- sigma / sqrt(x = n2)</t>
  </si>
  <si>
    <t>z</t>
  </si>
  <si>
    <t>(79 - 76) / 1.6</t>
  </si>
  <si>
    <t>z &lt;- (m2 - mu) / se</t>
  </si>
  <si>
    <t>p-value, one tail</t>
  </si>
  <si>
    <t>Area beyond |z| in one tail, using the STANDARD normal (mean 0, sd 1).</t>
  </si>
  <si>
    <t>pnorm(q = abs(z), mean = 0, sd = 1, lower.tail = FALSE)</t>
  </si>
  <si>
    <t>p-value, two-tailed</t>
  </si>
  <si>
    <t>Double the one-tail area.</t>
  </si>
  <si>
    <t>2 * pnorm(q = abs(z), mean = 0, sd = 1, lower.tail = FALSE)</t>
  </si>
  <si>
    <t>Critical z (two-tailed)</t>
  </si>
  <si>
    <t>Reject if |z| exceeds this.</t>
  </si>
  <si>
    <t>qnorm(p = 0.975, mean = 0, sd = 1, lower.tail = TRUE)</t>
  </si>
  <si>
    <t>Decision</t>
  </si>
  <si>
    <t>|z| = 1.875 &lt; 1.96 and p = .061 &gt; .05: a class mean of 79 is not unusual enough at alpha = .05.</t>
  </si>
  <si>
    <t>Q6. Why can a class mean of 79 be unusual when a single score of 79 is not?</t>
  </si>
  <si>
    <t>Sample means vary LESS than individual scores. A single score has spread sigma = 8, but a mean of n scores has spread sigma / sqrt(n) (1.6 when n = 25). A score of 79 is only 0.375 SD above 76, which is common. A mean of 79 is 1.875 standard errors above 76, much further out in the narrower sampling distribution. (Here it is borderline: p = .061. With n = 40 it would be z = 2.37, p = .018.)</t>
  </si>
  <si>
    <t>z for a single score of 79</t>
  </si>
  <si>
    <t>Divide by sigma.</t>
  </si>
  <si>
    <t>(79 - mu) / sigma</t>
  </si>
  <si>
    <t>z for a class mean of 79 (n = 25)</t>
  </si>
  <si>
    <t>Divide by the standard error instead.</t>
  </si>
  <si>
    <t>(79 - mu) / (sigma / sqrt(x = 25))</t>
  </si>
  <si>
    <t>Bonus: is a z-score of 0 "good" or "bad"?</t>
  </si>
  <si>
    <t>Neither. z = 0 means a score (or sample mean) exactly equal to the average. Calling it good or bad depends on context.</t>
  </si>
  <si>
    <t>Check: z at the mean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</si>
</sst>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0.00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theme="1"/>
      <name val="Consolas"/>
      <family val="2"/>
    </font>
  </fonts>
  <fills count="5">
    <fill>
      <patternFill patternType="none"/>
    </fill>
    <fill>
      <patternFill patternType="gray125"/>
    </fill>
    <fill>
      <patternFill patternType="solid">
        <fgColor rgb="FF5C715E"/>
        <bgColor indexed="64"/>
      </patternFill>
    </fill>
    <fill>
      <patternFill patternType="solid">
        <fgColor rgb="FFE4EAE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2" borderId="0" xfId="0" applyFont="1" applyFill="1" applyAlignment="1">
      <alignment vertical="top"/>
    </xf>
    <xf numFmtId="0" fontId="3" fillId="3" borderId="1" xfId="0" applyFont="1" applyFill="1" applyBorder="1" applyAlignment="1">
      <alignment vertical="top"/>
    </xf>
    <xf numFmtId="0" fontId="4" fillId="4" borderId="2" xfId="0" applyFont="1" applyFill="1" applyBorder="1" applyAlignment="1">
      <alignment vertical="top"/>
    </xf>
    <xf numFmtId="0" fontId="5" fillId="0" borderId="0" xfId="0" applyFont="1" applyAlignment="1">
      <alignment vertical="top" wrapText="1"/>
    </xf>
    <xf numFmtId="164" fontId="4" fillId="4" borderId="2" xfId="0" applyNumberFormat="1" applyFont="1" applyFill="1" applyBorder="1" applyAlignment="1">
      <alignment vertical="top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4.7109375" customWidth="1"/>
    <col min="2" max="2" width="14.7109375" customWidth="1"/>
    <col min="3" max="3" width="58.7109375" customWidth="1"/>
    <col min="4" max="4" width="62.7109375" customWidth="1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  <c r="B4" s="3"/>
      <c r="C4" s="3"/>
      <c r="D4" s="3"/>
    </row>
    <row r="5" spans="1:4">
      <c r="A5" s="4" t="s">
        <v>3</v>
      </c>
      <c r="B5" s="4" t="s">
        <v>4</v>
      </c>
      <c r="C5" s="4" t="s">
        <v>5</v>
      </c>
      <c r="D5" s="4" t="s">
        <v>6</v>
      </c>
    </row>
    <row r="6" spans="1:4">
      <c r="A6" s="2" t="s">
        <v>7</v>
      </c>
      <c r="B6" s="5">
        <v>76</v>
      </c>
      <c r="C6" s="2" t="s">
        <v>8</v>
      </c>
      <c r="D6" s="6" t="s">
        <v>9</v>
      </c>
    </row>
    <row r="7" spans="1:4">
      <c r="A7" s="2" t="s">
        <v>10</v>
      </c>
      <c r="B7" s="5">
        <v>8</v>
      </c>
      <c r="C7" s="2" t="s">
        <v>11</v>
      </c>
      <c r="D7" s="6" t="s">
        <v>12</v>
      </c>
    </row>
    <row r="8" spans="1:4">
      <c r="A8" s="2" t="s">
        <v>13</v>
      </c>
      <c r="B8" s="5">
        <v>40</v>
      </c>
      <c r="C8" s="2" t="s">
        <v>14</v>
      </c>
      <c r="D8" s="6" t="s">
        <v>15</v>
      </c>
    </row>
    <row r="9" spans="1:4">
      <c r="A9" s="2" t="s">
        <v>16</v>
      </c>
      <c r="B9" s="5">
        <v>70</v>
      </c>
      <c r="C9" s="2" t="s">
        <v>17</v>
      </c>
      <c r="D9" s="6" t="s">
        <v>18</v>
      </c>
    </row>
    <row r="10" spans="1:4">
      <c r="A10" s="2" t="s">
        <v>19</v>
      </c>
      <c r="B10" s="5">
        <v>25</v>
      </c>
      <c r="C10" s="2" t="s">
        <v>20</v>
      </c>
      <c r="D10" s="6" t="s">
        <v>21</v>
      </c>
    </row>
    <row r="11" spans="1:4">
      <c r="A11" s="2" t="s">
        <v>22</v>
      </c>
      <c r="B11" s="5">
        <v>100</v>
      </c>
      <c r="C11" s="2" t="s">
        <v>23</v>
      </c>
      <c r="D11" s="6" t="s">
        <v>24</v>
      </c>
    </row>
    <row r="12" spans="1:4">
      <c r="A12" s="2" t="s">
        <v>25</v>
      </c>
      <c r="B12" s="5">
        <v>79</v>
      </c>
      <c r="C12" s="2" t="s">
        <v>26</v>
      </c>
      <c r="D12" s="6" t="s">
        <v>27</v>
      </c>
    </row>
    <row r="13" spans="1:4">
      <c r="A13" s="2" t="s">
        <v>28</v>
      </c>
      <c r="B13" s="7">
        <v>0.25</v>
      </c>
      <c r="C13" s="2" t="s">
        <v>29</v>
      </c>
      <c r="D13" s="6" t="s">
        <v>30</v>
      </c>
    </row>
    <row r="14" spans="1:4">
      <c r="A14" s="2" t="s">
        <v>31</v>
      </c>
      <c r="B14" s="7">
        <v>0.05</v>
      </c>
      <c r="C14" s="2" t="s">
        <v>32</v>
      </c>
      <c r="D14" s="6" t="s">
        <v>33</v>
      </c>
    </row>
    <row r="16" spans="1:4">
      <c r="A16" s="3" t="s">
        <v>34</v>
      </c>
      <c r="B16" s="3"/>
      <c r="C16" s="3"/>
      <c r="D16" s="3"/>
    </row>
    <row r="17" spans="1:4">
      <c r="A17" s="4" t="s">
        <v>35</v>
      </c>
      <c r="B17" s="4" t="s">
        <v>36</v>
      </c>
      <c r="C17" s="4" t="s">
        <v>37</v>
      </c>
      <c r="D17" s="4" t="s">
        <v>38</v>
      </c>
    </row>
    <row r="18" spans="1:4">
      <c r="A18" s="8" t="s">
        <v>39</v>
      </c>
      <c r="B18" s="9">
        <f>STANDARDIZE($B$9,$B$6,$B$7)</f>
        <v>-0.75</v>
      </c>
      <c r="C18" s="8" t="s">
        <v>40</v>
      </c>
      <c r="D18" s="6" t="s">
        <v>41</v>
      </c>
    </row>
    <row r="19" spans="1:4">
      <c r="A19" s="8" t="s">
        <v>42</v>
      </c>
      <c r="B19" s="2" t="str">
        <f>IF(B18&lt;0,"Below average",IF(B18&gt;0,"Above average","Exactly average"))</f>
        <v>Below average</v>
      </c>
      <c r="C19" s="8" t="s">
        <v>43</v>
      </c>
      <c r="D19" s="6"/>
    </row>
    <row r="21" spans="1:4">
      <c r="A21" s="3" t="s">
        <v>44</v>
      </c>
      <c r="B21" s="3"/>
      <c r="C21" s="3"/>
      <c r="D21" s="3"/>
    </row>
    <row r="22" spans="1:4">
      <c r="A22" s="4" t="s">
        <v>35</v>
      </c>
      <c r="B22" s="4" t="s">
        <v>36</v>
      </c>
      <c r="C22" s="4" t="s">
        <v>37</v>
      </c>
      <c r="D22" s="4" t="s">
        <v>38</v>
      </c>
    </row>
    <row r="23" spans="1:4">
      <c r="A23" s="8" t="s">
        <v>45</v>
      </c>
      <c r="B23" s="10">
        <f>NORM.DIST($B$9,$B$6,$B$7,TRUE)</f>
        <v>0.2266273523768682</v>
      </c>
      <c r="C23" s="8" t="s">
        <v>46</v>
      </c>
      <c r="D23" s="6" t="s">
        <v>47</v>
      </c>
    </row>
    <row r="24" spans="1:4">
      <c r="A24" s="8" t="s">
        <v>48</v>
      </c>
      <c r="B24" s="10">
        <f>NORM.S.DIST(STANDARDIZE($B$9,$B$6,$B$7),TRUE)</f>
        <v>0.2266273523768682</v>
      </c>
      <c r="C24" s="8" t="s">
        <v>49</v>
      </c>
      <c r="D24" s="6" t="s">
        <v>50</v>
      </c>
    </row>
    <row r="25" spans="1:4">
      <c r="A25" s="8" t="s">
        <v>51</v>
      </c>
      <c r="B25" s="2" t="str">
        <f>TEXT(B24,"0.0%")</f>
        <v>22.7%</v>
      </c>
      <c r="C25" s="8" t="s">
        <v>52</v>
      </c>
      <c r="D25" s="6"/>
    </row>
    <row r="27" spans="1:4">
      <c r="A27" s="3" t="s">
        <v>53</v>
      </c>
      <c r="B27" s="3"/>
      <c r="C27" s="3"/>
      <c r="D27" s="3"/>
    </row>
    <row r="28" spans="1:4">
      <c r="A28" s="4" t="s">
        <v>35</v>
      </c>
      <c r="B28" s="4" t="s">
        <v>36</v>
      </c>
      <c r="C28" s="4" t="s">
        <v>37</v>
      </c>
      <c r="D28" s="4" t="s">
        <v>38</v>
      </c>
    </row>
    <row r="29" spans="1:4">
      <c r="A29" s="8" t="s">
        <v>54</v>
      </c>
      <c r="B29" s="10">
        <f>NORM.INV($B$13,$B$6,$B$7)</f>
        <v>70.60408199843134</v>
      </c>
      <c r="C29" s="8" t="s">
        <v>55</v>
      </c>
      <c r="D29" s="6" t="s">
        <v>56</v>
      </c>
    </row>
    <row r="31" spans="1:4">
      <c r="A31" s="3" t="s">
        <v>57</v>
      </c>
      <c r="B31" s="3"/>
      <c r="C31" s="3"/>
      <c r="D31" s="3"/>
    </row>
    <row r="32" spans="1:4">
      <c r="A32" s="4" t="s">
        <v>35</v>
      </c>
      <c r="B32" s="4" t="s">
        <v>36</v>
      </c>
      <c r="C32" s="4" t="s">
        <v>37</v>
      </c>
      <c r="D32" s="4" t="s">
        <v>38</v>
      </c>
    </row>
    <row r="33" spans="1:4">
      <c r="A33" s="8" t="s">
        <v>58</v>
      </c>
      <c r="B33" s="9">
        <f>$B$7/SQRT($B$10)</f>
        <v>1.6</v>
      </c>
      <c r="C33" s="8" t="s">
        <v>59</v>
      </c>
      <c r="D33" s="6" t="s">
        <v>60</v>
      </c>
    </row>
    <row r="34" spans="1:4">
      <c r="A34" s="8" t="s">
        <v>61</v>
      </c>
      <c r="B34" s="9">
        <f>$B$7/SQRT($B$11)</f>
        <v>0.8</v>
      </c>
      <c r="C34" s="8" t="s">
        <v>62</v>
      </c>
      <c r="D34" s="6" t="s">
        <v>63</v>
      </c>
    </row>
    <row r="35" spans="1:4">
      <c r="A35" s="8" t="s">
        <v>64</v>
      </c>
      <c r="B35" s="9">
        <f>B34/B33</f>
        <v>0.5</v>
      </c>
      <c r="C35" s="8" t="s">
        <v>65</v>
      </c>
      <c r="D35" s="6" t="s">
        <v>66</v>
      </c>
    </row>
    <row r="37" spans="1:4">
      <c r="A37" s="3" t="s">
        <v>67</v>
      </c>
      <c r="B37" s="3"/>
      <c r="C37" s="3"/>
      <c r="D37" s="3"/>
    </row>
    <row r="38" spans="1:4">
      <c r="A38" s="4" t="s">
        <v>35</v>
      </c>
      <c r="B38" s="4" t="s">
        <v>36</v>
      </c>
      <c r="C38" s="4" t="s">
        <v>37</v>
      </c>
      <c r="D38" s="4" t="s">
        <v>38</v>
      </c>
    </row>
    <row r="39" spans="1:4">
      <c r="A39" s="8" t="s">
        <v>68</v>
      </c>
      <c r="B39" s="9">
        <f>$B$7/SQRT($B$10)</f>
        <v>1.6</v>
      </c>
      <c r="C39" s="8" t="s">
        <v>69</v>
      </c>
      <c r="D39" s="6" t="s">
        <v>70</v>
      </c>
    </row>
    <row r="40" spans="1:4">
      <c r="A40" s="8" t="s">
        <v>71</v>
      </c>
      <c r="B40" s="9">
        <f>($B$12-$B$6)/B39</f>
        <v>1.875</v>
      </c>
      <c r="C40" s="8" t="s">
        <v>72</v>
      </c>
      <c r="D40" s="6" t="s">
        <v>73</v>
      </c>
    </row>
    <row r="41" spans="1:4">
      <c r="A41" s="8" t="s">
        <v>74</v>
      </c>
      <c r="B41" s="10">
        <f>1-NORM.S.DIST(ABS(B40),TRUE)</f>
        <v>0.030396361765261393</v>
      </c>
      <c r="C41" s="8" t="s">
        <v>75</v>
      </c>
      <c r="D41" s="6" t="s">
        <v>76</v>
      </c>
    </row>
    <row r="42" spans="1:4">
      <c r="A42" s="8" t="s">
        <v>77</v>
      </c>
      <c r="B42" s="10">
        <f>2*(1-NORM.S.DIST(ABS(B40),TRUE))</f>
        <v>0.060792723530522785</v>
      </c>
      <c r="C42" s="8" t="s">
        <v>78</v>
      </c>
      <c r="D42" s="6" t="s">
        <v>79</v>
      </c>
    </row>
    <row r="43" spans="1:4">
      <c r="A43" s="8" t="s">
        <v>80</v>
      </c>
      <c r="B43" s="9">
        <f>NORM.S.INV(1-$B$14/2)</f>
        <v>1.9599639845400534</v>
      </c>
      <c r="C43" s="8" t="s">
        <v>81</v>
      </c>
      <c r="D43" s="6" t="s">
        <v>82</v>
      </c>
    </row>
    <row r="44" spans="1:4">
      <c r="A44" s="8" t="s">
        <v>83</v>
      </c>
      <c r="B44" s="2" t="str">
        <f>IF(B42&lt;$B$14,"Reject H0 (significant)","Fail to reject H0 (not significant)")</f>
        <v>Fail to reject H0 (not significant)</v>
      </c>
      <c r="C44" s="8" t="s">
        <v>84</v>
      </c>
      <c r="D44" s="6"/>
    </row>
    <row r="46" spans="1:4">
      <c r="A46" s="3" t="s">
        <v>85</v>
      </c>
      <c r="B46" s="3"/>
      <c r="C46" s="3"/>
      <c r="D46" s="3"/>
    </row>
    <row r="47" spans="1:4">
      <c r="A47" s="4" t="s">
        <v>35</v>
      </c>
      <c r="B47" s="4" t="s">
        <v>36</v>
      </c>
      <c r="C47" s="4" t="s">
        <v>37</v>
      </c>
      <c r="D47" s="4" t="s">
        <v>38</v>
      </c>
    </row>
    <row r="48" spans="1:4" ht="64" customHeight="1">
      <c r="A48" s="8" t="s">
        <v>86</v>
      </c>
      <c r="B48" s="8"/>
      <c r="C48" s="8"/>
      <c r="D48" s="8"/>
    </row>
    <row r="49" spans="1:4">
      <c r="A49" s="8" t="s">
        <v>87</v>
      </c>
      <c r="B49" s="9">
        <f>STANDARDIZE(79,$B$6,$B$7)</f>
        <v>0.375</v>
      </c>
      <c r="C49" s="8" t="s">
        <v>88</v>
      </c>
      <c r="D49" s="6" t="s">
        <v>89</v>
      </c>
    </row>
    <row r="50" spans="1:4">
      <c r="A50" s="8" t="s">
        <v>90</v>
      </c>
      <c r="B50" s="9">
        <f>STANDARDIZE($B$12,$B$6,$B$7/SQRT($B$10))</f>
        <v>1.875</v>
      </c>
      <c r="C50" s="8" t="s">
        <v>91</v>
      </c>
      <c r="D50" s="6" t="s">
        <v>92</v>
      </c>
    </row>
    <row r="52" spans="1:4">
      <c r="A52" s="3" t="s">
        <v>93</v>
      </c>
      <c r="B52" s="3"/>
      <c r="C52" s="3"/>
      <c r="D52" s="3"/>
    </row>
    <row r="53" spans="1:4">
      <c r="A53" s="4" t="s">
        <v>35</v>
      </c>
      <c r="B53" s="4" t="s">
        <v>36</v>
      </c>
      <c r="C53" s="4" t="s">
        <v>37</v>
      </c>
      <c r="D53" s="4" t="s">
        <v>38</v>
      </c>
    </row>
    <row r="54" spans="1:4" ht="32" customHeight="1">
      <c r="A54" s="8" t="s">
        <v>94</v>
      </c>
      <c r="B54" s="8"/>
      <c r="C54" s="8"/>
      <c r="D54" s="8"/>
    </row>
    <row r="55" spans="1:4">
      <c r="A55" s="8" t="s">
        <v>95</v>
      </c>
      <c r="B55" s="9">
        <f>STANDARDIZE($B$6,$B$6,$B$7)</f>
        <v>0</v>
      </c>
      <c r="C55" s="8"/>
      <c r="D55" s="6"/>
    </row>
  </sheetData>
  <mergeCells count="10">
    <mergeCell ref="A4:D4"/>
    <mergeCell ref="A16:D16"/>
    <mergeCell ref="A21:D21"/>
    <mergeCell ref="A27:D27"/>
    <mergeCell ref="A31:D31"/>
    <mergeCell ref="A37:D37"/>
    <mergeCell ref="A46:D46"/>
    <mergeCell ref="A48:D48"/>
    <mergeCell ref="A52:D52"/>
    <mergeCell ref="A54:D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4 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2026-10-21T11:25:27Z</dcterms:created>
  <dcterms:modified xsi:type="dcterms:W3CDTF">2026-10-21T11:25:27Z</dcterms:modified>
</cp:coreProperties>
</file>