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 5 Key" sheetId="1" r:id="rId1"/>
    <sheet name="Data" sheetId="2" r:id="rId2"/>
    <sheet name="Worked Example" sheetId="3" r:id="rId3"/>
    <sheet name="Worked Data" sheetId="4" r:id="rId4"/>
  </sheets>
  <calcPr calcId="124519" fullCalcOnLoad="1"/>
</workbook>
</file>

<file path=xl/sharedStrings.xml><?xml version="1.0" encoding="utf-8"?>
<sst xmlns="http://schemas.openxmlformats.org/spreadsheetml/2006/main" count="185" uniqueCount="109">
  <si>
    <t>Lab 5: Instructions and Walkthrough (Excel version)</t>
  </si>
  <si>
    <t>Yellow cells are inputs; change them and every answer below updates. Raw data are on the Data sheet.</t>
  </si>
  <si>
    <t>Inputs: hours of sleep, 10 students, H_A: mu &lt; 7</t>
  </si>
  <si>
    <t>Quantity</t>
  </si>
  <si>
    <t>Value</t>
  </si>
  <si>
    <t>Note</t>
  </si>
  <si>
    <t>R object</t>
  </si>
  <si>
    <t>Hypothesized mean (mu)</t>
  </si>
  <si>
    <t>Recommended hours of sleep</t>
  </si>
  <si>
    <t>mu_0 &lt;- 7</t>
  </si>
  <si>
    <t>Alpha</t>
  </si>
  <si>
    <t>Significance level</t>
  </si>
  <si>
    <t>alpha &lt;- 0.05</t>
  </si>
  <si>
    <t>Confidence level</t>
  </si>
  <si>
    <t>For the confidence interval</t>
  </si>
  <si>
    <t>conf.level &lt;- 0.95</t>
  </si>
  <si>
    <t>Q1. By hand: mean, s, standard error, and t</t>
  </si>
  <si>
    <t>Step</t>
  </si>
  <si>
    <t>Result</t>
  </si>
  <si>
    <t>Explanation</t>
  </si>
  <si>
    <t>Equivalent in R (all arguments named)</t>
  </si>
  <si>
    <t>Sample size (n)</t>
  </si>
  <si>
    <t>Count of the 10 scores on the Data sheet</t>
  </si>
  <si>
    <t>n &lt;- length(x = sleep_hours)</t>
  </si>
  <si>
    <t>Sample mean</t>
  </si>
  <si>
    <t>Sum of the scores divided by n</t>
  </si>
  <si>
    <t>m &lt;- mean(x = sleep_hours)</t>
  </si>
  <si>
    <t>Sum of squared deviations</t>
  </si>
  <si>
    <t>Each score's squared distance from the mean, added up (numerator of s)</t>
  </si>
  <si>
    <t>sum((sleep_hours - m)^2)</t>
  </si>
  <si>
    <t>Sample SD (s)</t>
  </si>
  <si>
    <t>s = sqrt(4.165 / (10 - 1)) = 0.680</t>
  </si>
  <si>
    <t>s &lt;- sd(x = sleep_hours)</t>
  </si>
  <si>
    <t>Standard error = s / sqrt(n)</t>
  </si>
  <si>
    <t>SE = 0.680 / sqrt(10) = 0.215</t>
  </si>
  <si>
    <t>se &lt;- s / sqrt(x = n)</t>
  </si>
  <si>
    <t>t = (mean - mu) / SE</t>
  </si>
  <si>
    <t>t = (6.55 - 7) / 0.215 = -2.09: the mean is about 2.09 standard errors BELOW 7</t>
  </si>
  <si>
    <t>t &lt;- (m - mu_0) / se</t>
  </si>
  <si>
    <t>Q2. Degrees of freedom and critical values</t>
  </si>
  <si>
    <t>Degrees of freedom</t>
  </si>
  <si>
    <t>df = n - 1 = 10 - 1 = 9</t>
  </si>
  <si>
    <t>df &lt;- n - 1</t>
  </si>
  <si>
    <t>Two-tailed critical t (+/-)</t>
  </si>
  <si>
    <t>2.5% in each tail; reject if |t| is larger than this</t>
  </si>
  <si>
    <t>qt(p = 0.975, df = df, lower.tail = TRUE)</t>
  </si>
  <si>
    <t>One-tailed critical t (less than)</t>
  </si>
  <si>
    <t>All 5% in the lower tail; reject if t is below this</t>
  </si>
  <si>
    <t>qt(p = 0.05, df = df, lower.tail = TRUE)</t>
  </si>
  <si>
    <t>Q3. Two-tailed test</t>
  </si>
  <si>
    <t>Two-tailed p-value</t>
  </si>
  <si>
    <t>Area beyond |t| in BOTH tails</t>
  </si>
  <si>
    <t>2 * pt(q = abs(x = t), df = df, lower.tail = FALSE)</t>
  </si>
  <si>
    <t>95% CI lower</t>
  </si>
  <si>
    <t>mean - critical t x SE</t>
  </si>
  <si>
    <t>t.test(x = sleep_hours, mu = 7, alternative = "two.sided", conf.level = 0.95)$conf.int</t>
  </si>
  <si>
    <t>95% CI upper</t>
  </si>
  <si>
    <t>mean + critical t x SE. The interval contains 7.</t>
  </si>
  <si>
    <t>(same call as above)</t>
  </si>
  <si>
    <t>Decision (two-tailed)</t>
  </si>
  <si>
    <t>|t| = 2.09 &lt; 2.262 and p &gt; .05, so we fail to reject H0 (two-tailed).</t>
  </si>
  <si>
    <t>abs(x = t) &gt; t_crit_two</t>
  </si>
  <si>
    <t>Q4. One-tailed test (H_A: mu &lt; 7)</t>
  </si>
  <si>
    <t>One-tailed p-value</t>
  </si>
  <si>
    <t>Area below t in the lower tail only: exactly half the two-tailed p</t>
  </si>
  <si>
    <t>pt(q = t, df = df, lower.tail = TRUE)</t>
  </si>
  <si>
    <t>Decision (one-tailed)</t>
  </si>
  <si>
    <t>-2.09 &lt; -1.833 and p = .033 &lt; .05, so we reject H0. The decision changed only because all of alpha sits in one tail. The direction must be chosen BEFORE seeing the data.</t>
  </si>
  <si>
    <t>t.test(x = sleep_hours, mu = 7, alternative = "less", conf.level = 0.95)</t>
  </si>
  <si>
    <t>Q5. Effect size and APA sentence</t>
  </si>
  <si>
    <t>Cohen's d = (mean - mu) / s</t>
  </si>
  <si>
    <t>d = (6.55 - 7) / 0.680 = -0.66</t>
  </si>
  <si>
    <t>d &lt;- (m - mu_0) / s</t>
  </si>
  <si>
    <t>Size of the effect</t>
  </si>
  <si>
    <t>About 0.2 is small, 0.5 is medium, and 0.8 is large; 0.66 is medium-to-large.</t>
  </si>
  <si>
    <t>abs(x = d)</t>
  </si>
  <si>
    <t>APA sentence</t>
  </si>
  <si>
    <t>Submit question: why t instead of z?</t>
  </si>
  <si>
    <t>Answer</t>
  </si>
  <si>
    <t>s is only an estimate of sigma and changes from sample to sample, so the t distribution has fatter tails than z to account for that extra uncertainty (especially when n is small). As n grows, t becomes nearly identical to z.</t>
  </si>
  <si>
    <t>Student</t>
  </si>
  <si>
    <t>Sleep hours</t>
  </si>
  <si>
    <t>R: set.seed(seed = 133); sleep_hours &lt;- round(rnorm(n = 10, mean = 6.5, sd = 0.9), digits = 1)</t>
  </si>
  <si>
    <t>Lab 5 worked example (Excel version): weekly study hours</t>
  </si>
  <si>
    <t>Yellow cells are inputs; change them and every answer updates. Raw data are on the Worked Data sheet.</t>
  </si>
  <si>
    <t>Inputs: 12 students, H0: mu = 9, H_A: mu != 9 (two-tailed)</t>
  </si>
  <si>
    <t>National average hours studied per week</t>
  </si>
  <si>
    <t>mu_0 &lt;- 9</t>
  </si>
  <si>
    <t>1. By hand: mean, s, standard error, and t</t>
  </si>
  <si>
    <t>Count of the 12 scores on the Worked Data sheet</t>
  </si>
  <si>
    <t>n &lt;- length(x = study_hours)</t>
  </si>
  <si>
    <t>m &lt;- mean(x = study_hours)</t>
  </si>
  <si>
    <t>sum((study_hours - m)^2)</t>
  </si>
  <si>
    <t>s = sqrt(SS / (n - 1))</t>
  </si>
  <si>
    <t>s &lt;- sd(x = study_hours)</t>
  </si>
  <si>
    <t>SE = 4.72 / sqrt(12) = 1.36</t>
  </si>
  <si>
    <t>t = (12.67 - 9) / 1.36 = 2.69: the mean is about 2.69 standard errors ABOVE 9</t>
  </si>
  <si>
    <t>2. Degrees of freedom and critical value</t>
  </si>
  <si>
    <t>df = n - 1 = 12 - 1 = 11</t>
  </si>
  <si>
    <t>3. p-value, confidence interval, and decision</t>
  </si>
  <si>
    <t>t.test(x = study_hours, mu = 9, alternative = "two.sided", conf.level = 0.95)$conf.int</t>
  </si>
  <si>
    <t>mean + critical t x SE. The interval does NOT contain 9.</t>
  </si>
  <si>
    <t>|t| = 2.69 &gt; 2.201 and p = .021 &lt; .05, so we reject H0. Students study more than the national average.</t>
  </si>
  <si>
    <t>abs(x = t) &gt; t_crit</t>
  </si>
  <si>
    <t>4. Effect size and APA sentence</t>
  </si>
  <si>
    <t>d = (12.67 - 9) / 4.72 = 0.78</t>
  </si>
  <si>
    <t>About 0.2 is small, 0.5 is medium, and 0.8 is large; 0.78 is at the medium/large boundary (the lab slides call it large, d ~ 0.8).</t>
  </si>
  <si>
    <t>Study hours</t>
  </si>
  <si>
    <t>R: set.seed(seed = 348); study_hours &lt;- round(x = rnorm(n = 12, mean = 12, sd = 4), digits = 0)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</si>
</sst>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C715E"/>
        <bgColor indexed="64"/>
      </patternFill>
    </fill>
    <fill>
      <patternFill patternType="solid">
        <fgColor rgb="FFE4EA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0" fillId="0" borderId="1" xfId="0" applyBorder="1" applyAlignment="1">
      <alignment vertical="top" wrapText="1"/>
    </xf>
    <xf numFmtId="0" fontId="0" fillId="4" borderId="1" xfId="0" applyFill="1" applyBorder="1"/>
    <xf numFmtId="164" fontId="0" fillId="0" borderId="1" xfId="0" applyNumberFormat="1" applyBorder="1" applyAlignment="1">
      <alignment vertical="top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46.7109375" customWidth="1"/>
    <col min="2" max="2" width="16.7109375" customWidth="1"/>
    <col min="3" max="3" width="62.7109375" customWidth="1"/>
    <col min="4" max="4" width="66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/>
      <c r="C4" s="3"/>
      <c r="D4" s="3"/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 t="s">
        <v>7</v>
      </c>
      <c r="B6" s="6">
        <v>7</v>
      </c>
      <c r="C6" s="5" t="s">
        <v>8</v>
      </c>
      <c r="D6" s="5" t="s">
        <v>9</v>
      </c>
    </row>
    <row r="7" spans="1:4">
      <c r="A7" s="5" t="s">
        <v>10</v>
      </c>
      <c r="B7" s="6">
        <v>0.05</v>
      </c>
      <c r="C7" s="5" t="s">
        <v>11</v>
      </c>
      <c r="D7" s="5" t="s">
        <v>12</v>
      </c>
    </row>
    <row r="8" spans="1:4">
      <c r="A8" s="5" t="s">
        <v>13</v>
      </c>
      <c r="B8" s="6">
        <v>0.95</v>
      </c>
      <c r="C8" s="5" t="s">
        <v>14</v>
      </c>
      <c r="D8" s="5" t="s">
        <v>15</v>
      </c>
    </row>
    <row r="10" spans="1:4">
      <c r="A10" s="3" t="s">
        <v>16</v>
      </c>
      <c r="B10" s="3"/>
      <c r="C10" s="3"/>
      <c r="D10" s="3"/>
    </row>
    <row r="11" spans="1:4">
      <c r="A11" s="4" t="s">
        <v>17</v>
      </c>
      <c r="B11" s="4" t="s">
        <v>18</v>
      </c>
      <c r="C11" s="4" t="s">
        <v>19</v>
      </c>
      <c r="D11" s="4" t="s">
        <v>20</v>
      </c>
    </row>
    <row r="12" spans="1:4">
      <c r="A12" s="5" t="s">
        <v>21</v>
      </c>
      <c r="B12" s="7">
        <f>COUNT(Data!$B$2:$B$11)</f>
        <v>10.0</v>
      </c>
      <c r="C12" s="5" t="s">
        <v>22</v>
      </c>
      <c r="D12" s="5" t="s">
        <v>23</v>
      </c>
    </row>
    <row r="13" spans="1:4">
      <c r="A13" s="5" t="s">
        <v>24</v>
      </c>
      <c r="B13" s="7">
        <f>AVERAGE(Data!$B$2:$B$11)</f>
        <v>6.55</v>
      </c>
      <c r="C13" s="5" t="s">
        <v>25</v>
      </c>
      <c r="D13" s="5" t="s">
        <v>26</v>
      </c>
    </row>
    <row r="14" spans="1:4">
      <c r="A14" s="5" t="s">
        <v>27</v>
      </c>
      <c r="B14" s="7">
        <f>DEVSQ(Data!$B$2:$B$11)</f>
        <v>4.165000000000001</v>
      </c>
      <c r="C14" s="5" t="s">
        <v>28</v>
      </c>
      <c r="D14" s="5" t="s">
        <v>29</v>
      </c>
    </row>
    <row r="15" spans="1:4">
      <c r="A15" s="5" t="s">
        <v>30</v>
      </c>
      <c r="B15" s="7">
        <f>STDEV.S(Data!$B$2:$B$11)</f>
        <v>0.6802777210652852</v>
      </c>
      <c r="C15" s="5" t="s">
        <v>31</v>
      </c>
      <c r="D15" s="5" t="s">
        <v>32</v>
      </c>
    </row>
    <row r="16" spans="1:4">
      <c r="A16" s="5" t="s">
        <v>33</v>
      </c>
      <c r="B16" s="7">
        <f>B15/SQRT(B12)</f>
        <v>0.2151227040035007</v>
      </c>
      <c r="C16" s="5" t="s">
        <v>34</v>
      </c>
      <c r="D16" s="5" t="s">
        <v>35</v>
      </c>
    </row>
    <row r="17" spans="1:4">
      <c r="A17" s="5" t="s">
        <v>36</v>
      </c>
      <c r="B17" s="7">
        <f>(B13-$B$6)/B16</f>
        <v>-2.091829414679899</v>
      </c>
      <c r="C17" s="5" t="s">
        <v>37</v>
      </c>
      <c r="D17" s="5" t="s">
        <v>38</v>
      </c>
    </row>
    <row r="19" spans="1:4">
      <c r="A19" s="3" t="s">
        <v>39</v>
      </c>
      <c r="B19" s="3"/>
      <c r="C19" s="3"/>
      <c r="D19" s="3"/>
    </row>
    <row r="20" spans="1:4">
      <c r="A20" s="4" t="s">
        <v>17</v>
      </c>
      <c r="B20" s="4" t="s">
        <v>18</v>
      </c>
      <c r="C20" s="4" t="s">
        <v>19</v>
      </c>
      <c r="D20" s="4" t="s">
        <v>20</v>
      </c>
    </row>
    <row r="21" spans="1:4">
      <c r="A21" s="5" t="s">
        <v>40</v>
      </c>
      <c r="B21" s="7">
        <f>B12-1</f>
        <v>9.0</v>
      </c>
      <c r="C21" s="5" t="s">
        <v>41</v>
      </c>
      <c r="D21" s="5" t="s">
        <v>42</v>
      </c>
    </row>
    <row r="22" spans="1:4">
      <c r="A22" s="5" t="s">
        <v>43</v>
      </c>
      <c r="B22" s="7">
        <f>T.INV.2T($B$7,B21)</f>
        <v>2.262157162798205</v>
      </c>
      <c r="C22" s="5" t="s">
        <v>44</v>
      </c>
      <c r="D22" s="5" t="s">
        <v>45</v>
      </c>
    </row>
    <row r="23" spans="1:4">
      <c r="A23" s="5" t="s">
        <v>46</v>
      </c>
      <c r="B23" s="7">
        <f>T.INV($B$7,B21)</f>
        <v>-1.833112932656237</v>
      </c>
      <c r="C23" s="5" t="s">
        <v>47</v>
      </c>
      <c r="D23" s="5" t="s">
        <v>48</v>
      </c>
    </row>
    <row r="25" spans="1:4">
      <c r="A25" s="3" t="s">
        <v>49</v>
      </c>
      <c r="B25" s="3"/>
      <c r="C25" s="3"/>
      <c r="D25" s="3"/>
    </row>
    <row r="26" spans="1:4">
      <c r="A26" s="4" t="s">
        <v>17</v>
      </c>
      <c r="B26" s="4" t="s">
        <v>18</v>
      </c>
      <c r="C26" s="4" t="s">
        <v>19</v>
      </c>
      <c r="D26" s="4" t="s">
        <v>20</v>
      </c>
    </row>
    <row r="27" spans="1:4">
      <c r="A27" s="5" t="s">
        <v>50</v>
      </c>
      <c r="B27" s="7">
        <f>T.DIST.2T(ABS(B17),B21)</f>
        <v>0.06598724836953228</v>
      </c>
      <c r="C27" s="5" t="s">
        <v>51</v>
      </c>
      <c r="D27" s="5" t="s">
        <v>52</v>
      </c>
    </row>
    <row r="28" spans="1:4">
      <c r="A28" s="5" t="s">
        <v>53</v>
      </c>
      <c r="B28" s="7">
        <f>B13-T.INV.2T(1-$B$8,B21)*B16</f>
        <v>6.063358634257963</v>
      </c>
      <c r="C28" s="5" t="s">
        <v>54</v>
      </c>
      <c r="D28" s="5" t="s">
        <v>55</v>
      </c>
    </row>
    <row r="29" spans="1:4">
      <c r="A29" s="5" t="s">
        <v>56</v>
      </c>
      <c r="B29" s="7">
        <f>B13+T.INV.2T(1-$B$8,B21)*B16</f>
        <v>7.036641365742037</v>
      </c>
      <c r="C29" s="5" t="s">
        <v>57</v>
      </c>
      <c r="D29" s="5" t="s">
        <v>58</v>
      </c>
    </row>
    <row r="30" spans="1:4">
      <c r="A30" s="5" t="s">
        <v>59</v>
      </c>
      <c r="B30" s="8" t="str">
        <f>IF(ABS(B17)&gt;B22,"Reject H0","Fail to reject H0")</f>
        <v>Fail to reject H0</v>
      </c>
      <c r="C30" s="5" t="s">
        <v>60</v>
      </c>
      <c r="D30" s="5" t="s">
        <v>61</v>
      </c>
    </row>
    <row r="32" spans="1:4">
      <c r="A32" s="3" t="s">
        <v>62</v>
      </c>
      <c r="B32" s="3"/>
      <c r="C32" s="3"/>
      <c r="D32" s="3"/>
    </row>
    <row r="33" spans="1:4">
      <c r="A33" s="4" t="s">
        <v>17</v>
      </c>
      <c r="B33" s="4" t="s">
        <v>18</v>
      </c>
      <c r="C33" s="4" t="s">
        <v>19</v>
      </c>
      <c r="D33" s="4" t="s">
        <v>20</v>
      </c>
    </row>
    <row r="34" spans="1:4">
      <c r="A34" s="5" t="s">
        <v>63</v>
      </c>
      <c r="B34" s="7">
        <f>T.DIST(B17,B21,TRUE)</f>
        <v>0.03299362418476614</v>
      </c>
      <c r="C34" s="5" t="s">
        <v>64</v>
      </c>
      <c r="D34" s="5" t="s">
        <v>65</v>
      </c>
    </row>
    <row r="35" spans="1:4">
      <c r="A35" s="5" t="s">
        <v>66</v>
      </c>
      <c r="B35" s="8" t="str">
        <f>IF(B17&lt;B23,"Reject H0","Fail to reject H0")</f>
        <v>Reject H0</v>
      </c>
      <c r="C35" s="5" t="s">
        <v>67</v>
      </c>
      <c r="D35" s="5" t="s">
        <v>68</v>
      </c>
    </row>
    <row r="37" spans="1:4">
      <c r="A37" s="3" t="s">
        <v>69</v>
      </c>
      <c r="B37" s="3"/>
      <c r="C37" s="3"/>
      <c r="D37" s="3"/>
    </row>
    <row r="38" spans="1:4">
      <c r="A38" s="4" t="s">
        <v>17</v>
      </c>
      <c r="B38" s="4" t="s">
        <v>18</v>
      </c>
      <c r="C38" s="4" t="s">
        <v>19</v>
      </c>
      <c r="D38" s="4" t="s">
        <v>20</v>
      </c>
    </row>
    <row r="39" spans="1:4">
      <c r="A39" s="5" t="s">
        <v>70</v>
      </c>
      <c r="B39" s="7">
        <f>(B13-$B$6)/B15</f>
        <v>-0.6614945426925343</v>
      </c>
      <c r="C39" s="5" t="s">
        <v>71</v>
      </c>
      <c r="D39" s="5" t="s">
        <v>72</v>
      </c>
    </row>
    <row r="40" spans="1:4">
      <c r="A40" s="5" t="s">
        <v>73</v>
      </c>
      <c r="B40" s="8" t="str">
        <f>IF(ABS(B39)&lt;0.2,"negligible",IF(ABS(B39)&lt;0.5,"small",IF(ABS(B39)&lt;0.8,"medium","large")))</f>
        <v>medium</v>
      </c>
      <c r="C40" s="5" t="s">
        <v>74</v>
      </c>
      <c r="D40" s="5" t="s">
        <v>75</v>
      </c>
    </row>
    <row r="41" spans="1:4" ht="32" customHeight="1">
      <c r="A41" s="5" t="s">
        <v>76</v>
      </c>
      <c r="B41" s="5" t="str">
        <f>"Students slept significantly less than the recommended "&amp;TEXT($B$6,"0")&amp;" hours, M = "&amp;TEXT(B13,"0.00")&amp;", SD = "&amp;TEXT(B15,"0.00")&amp;", t("&amp;B21&amp;") = "&amp;TEXT(B17,"0.00")&amp;", p = "&amp;TEXT(B34,"0.000")&amp;" (one-tailed), d = "&amp;TEXT(B39,"0.00")&amp;"."</f>
        <v>Students slept significantly less than the recommended 7 hours, M = 6.55, SD = 0.68, t(9) = -2.09, p = .033 (one-tailed), d = -0.66.</v>
      </c>
      <c r="C41" s="5"/>
      <c r="D41" s="5"/>
    </row>
    <row r="43" spans="1:4">
      <c r="A43" s="3" t="s">
        <v>77</v>
      </c>
      <c r="B43" s="3"/>
      <c r="C43" s="3"/>
      <c r="D43" s="3"/>
    </row>
    <row r="44" spans="1:4">
      <c r="A44" s="4" t="s">
        <v>17</v>
      </c>
      <c r="B44" s="4" t="s">
        <v>18</v>
      </c>
      <c r="C44" s="4" t="s">
        <v>19</v>
      </c>
      <c r="D44" s="4" t="s">
        <v>20</v>
      </c>
    </row>
    <row r="45" spans="1:4" ht="48" customHeight="1">
      <c r="A45" s="5" t="s">
        <v>78</v>
      </c>
      <c r="B45" s="5" t="s">
        <v>79</v>
      </c>
      <c r="C45" s="5"/>
      <c r="D45" s="5"/>
    </row>
  </sheetData>
  <mergeCells count="9">
    <mergeCell ref="A4:D4"/>
    <mergeCell ref="A10:D10"/>
    <mergeCell ref="A19:D19"/>
    <mergeCell ref="A25:D25"/>
    <mergeCell ref="A32:D32"/>
    <mergeCell ref="A37:D37"/>
    <mergeCell ref="B41:D41"/>
    <mergeCell ref="A43:D43"/>
    <mergeCell ref="B45:D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12.7109375" customWidth="1"/>
    <col min="2" max="2" width="14.7109375" customWidth="1"/>
  </cols>
  <sheetData>
    <row r="1" spans="1:4">
      <c r="A1" s="4" t="s">
        <v>80</v>
      </c>
      <c r="B1" s="4" t="s">
        <v>81</v>
      </c>
      <c r="D1" s="2" t="s">
        <v>82</v>
      </c>
    </row>
    <row r="2" spans="1:4">
      <c r="A2">
        <v>1</v>
      </c>
      <c r="B2">
        <v>6.6</v>
      </c>
    </row>
    <row r="3" spans="1:4">
      <c r="A3">
        <v>2</v>
      </c>
      <c r="B3">
        <v>6.8</v>
      </c>
    </row>
    <row r="4" spans="1:4">
      <c r="A4">
        <v>3</v>
      </c>
      <c r="B4">
        <v>5.8</v>
      </c>
    </row>
    <row r="5" spans="1:4">
      <c r="A5">
        <v>4</v>
      </c>
      <c r="B5">
        <v>6.8</v>
      </c>
    </row>
    <row r="6" spans="1:4">
      <c r="A6">
        <v>5</v>
      </c>
      <c r="B6">
        <v>7.6</v>
      </c>
    </row>
    <row r="7" spans="1:4">
      <c r="A7">
        <v>6</v>
      </c>
      <c r="B7">
        <v>6.5</v>
      </c>
    </row>
    <row r="8" spans="1:4">
      <c r="A8">
        <v>7</v>
      </c>
      <c r="B8">
        <v>7.4</v>
      </c>
    </row>
    <row r="9" spans="1:4">
      <c r="A9">
        <v>8</v>
      </c>
      <c r="B9">
        <v>6.4</v>
      </c>
    </row>
    <row r="10" spans="1:4">
      <c r="A10">
        <v>9</v>
      </c>
      <c r="B10">
        <v>6.3</v>
      </c>
    </row>
    <row r="11" spans="1:4">
      <c r="A11">
        <v>10</v>
      </c>
      <c r="B1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cols>
    <col min="1" max="1" width="46.7109375" customWidth="1"/>
    <col min="2" max="2" width="16.7109375" customWidth="1"/>
    <col min="3" max="3" width="62.7109375" customWidth="1"/>
    <col min="4" max="4" width="66.7109375" customWidth="1"/>
  </cols>
  <sheetData>
    <row r="1" spans="1:4">
      <c r="A1" s="1" t="s">
        <v>83</v>
      </c>
    </row>
    <row r="2" spans="1:4">
      <c r="A2" s="2" t="s">
        <v>84</v>
      </c>
    </row>
    <row r="4" spans="1:4">
      <c r="A4" s="3" t="s">
        <v>85</v>
      </c>
      <c r="B4" s="3"/>
      <c r="C4" s="3"/>
      <c r="D4" s="3"/>
    </row>
    <row r="5" spans="1:4">
      <c r="A5" s="4" t="s">
        <v>3</v>
      </c>
      <c r="B5" s="4" t="s">
        <v>4</v>
      </c>
      <c r="C5" s="4" t="s">
        <v>5</v>
      </c>
      <c r="D5" s="4" t="s">
        <v>6</v>
      </c>
    </row>
    <row r="6" spans="1:4">
      <c r="A6" s="5" t="s">
        <v>7</v>
      </c>
      <c r="B6" s="6">
        <v>9</v>
      </c>
      <c r="C6" s="5" t="s">
        <v>86</v>
      </c>
      <c r="D6" s="5" t="s">
        <v>87</v>
      </c>
    </row>
    <row r="7" spans="1:4">
      <c r="A7" s="5" t="s">
        <v>10</v>
      </c>
      <c r="B7" s="6">
        <v>0.05</v>
      </c>
      <c r="C7" s="5" t="s">
        <v>11</v>
      </c>
      <c r="D7" s="5" t="s">
        <v>12</v>
      </c>
    </row>
    <row r="8" spans="1:4">
      <c r="A8" s="5" t="s">
        <v>13</v>
      </c>
      <c r="B8" s="6">
        <v>0.95</v>
      </c>
      <c r="C8" s="5" t="s">
        <v>14</v>
      </c>
      <c r="D8" s="5" t="s">
        <v>15</v>
      </c>
    </row>
    <row r="10" spans="1:4">
      <c r="A10" s="3" t="s">
        <v>88</v>
      </c>
      <c r="B10" s="3"/>
      <c r="C10" s="3"/>
      <c r="D10" s="3"/>
    </row>
    <row r="11" spans="1:4">
      <c r="A11" s="4" t="s">
        <v>17</v>
      </c>
      <c r="B11" s="4" t="s">
        <v>18</v>
      </c>
      <c r="C11" s="4" t="s">
        <v>19</v>
      </c>
      <c r="D11" s="4" t="s">
        <v>20</v>
      </c>
    </row>
    <row r="12" spans="1:4">
      <c r="A12" s="5" t="s">
        <v>21</v>
      </c>
      <c r="B12" s="7">
        <f>COUNT('Worked Data'!$B$2:$B$13)</f>
        <v>12.0</v>
      </c>
      <c r="C12" s="5" t="s">
        <v>89</v>
      </c>
      <c r="D12" s="5" t="s">
        <v>90</v>
      </c>
    </row>
    <row r="13" spans="1:4">
      <c r="A13" s="5" t="s">
        <v>24</v>
      </c>
      <c r="B13" s="7">
        <f>AVERAGE('Worked Data'!$B$2:$B$13)</f>
        <v>12.66666666666667</v>
      </c>
      <c r="C13" s="5" t="s">
        <v>25</v>
      </c>
      <c r="D13" s="5" t="s">
        <v>91</v>
      </c>
    </row>
    <row r="14" spans="1:4">
      <c r="A14" s="5" t="s">
        <v>27</v>
      </c>
      <c r="B14" s="7">
        <f>DEVSQ('Worked Data'!$B$2:$B$13)</f>
        <v>244.6666666666667</v>
      </c>
      <c r="C14" s="5" t="s">
        <v>28</v>
      </c>
      <c r="D14" s="5" t="s">
        <v>92</v>
      </c>
    </row>
    <row r="15" spans="1:4">
      <c r="A15" s="5" t="s">
        <v>30</v>
      </c>
      <c r="B15" s="7">
        <f>STDEV.S('Worked Data'!$B$2:$B$13)</f>
        <v>4.716187468965185</v>
      </c>
      <c r="C15" s="5" t="s">
        <v>93</v>
      </c>
      <c r="D15" s="5" t="s">
        <v>94</v>
      </c>
    </row>
    <row r="16" spans="1:4">
      <c r="A16" s="5" t="s">
        <v>33</v>
      </c>
      <c r="B16" s="7">
        <f>B15/SQRT(B12)</f>
        <v>1.361446052377895</v>
      </c>
      <c r="C16" s="5" t="s">
        <v>95</v>
      </c>
      <c r="D16" s="5" t="s">
        <v>35</v>
      </c>
    </row>
    <row r="17" spans="1:4">
      <c r="A17" s="5" t="s">
        <v>36</v>
      </c>
      <c r="B17" s="7">
        <f>(B13-$B$6)/B16</f>
        <v>2.693214806611312</v>
      </c>
      <c r="C17" s="5" t="s">
        <v>96</v>
      </c>
      <c r="D17" s="5" t="s">
        <v>38</v>
      </c>
    </row>
    <row r="19" spans="1:4">
      <c r="A19" s="3" t="s">
        <v>97</v>
      </c>
      <c r="B19" s="3"/>
      <c r="C19" s="3"/>
      <c r="D19" s="3"/>
    </row>
    <row r="20" spans="1:4">
      <c r="A20" s="4" t="s">
        <v>17</v>
      </c>
      <c r="B20" s="4" t="s">
        <v>18</v>
      </c>
      <c r="C20" s="4" t="s">
        <v>19</v>
      </c>
      <c r="D20" s="4" t="s">
        <v>20</v>
      </c>
    </row>
    <row r="21" spans="1:4">
      <c r="A21" s="5" t="s">
        <v>40</v>
      </c>
      <c r="B21" s="7">
        <f>B12-1</f>
        <v>11.0</v>
      </c>
      <c r="C21" s="5" t="s">
        <v>98</v>
      </c>
      <c r="D21" s="5" t="s">
        <v>42</v>
      </c>
    </row>
    <row r="22" spans="1:4">
      <c r="A22" s="5" t="s">
        <v>43</v>
      </c>
      <c r="B22" s="7">
        <f>T.INV.2T($B$7,B21)</f>
        <v>2.200985160091639</v>
      </c>
      <c r="C22" s="5" t="s">
        <v>44</v>
      </c>
      <c r="D22" s="5" t="s">
        <v>45</v>
      </c>
    </row>
    <row r="24" spans="1:4">
      <c r="A24" s="3" t="s">
        <v>99</v>
      </c>
      <c r="B24" s="3"/>
      <c r="C24" s="3"/>
      <c r="D24" s="3"/>
    </row>
    <row r="25" spans="1:4">
      <c r="A25" s="4" t="s">
        <v>17</v>
      </c>
      <c r="B25" s="4" t="s">
        <v>18</v>
      </c>
      <c r="C25" s="4" t="s">
        <v>19</v>
      </c>
      <c r="D25" s="4" t="s">
        <v>20</v>
      </c>
    </row>
    <row r="26" spans="1:4">
      <c r="A26" s="5" t="s">
        <v>50</v>
      </c>
      <c r="B26" s="7">
        <f>T.DIST.2T(ABS(B17),B21)</f>
        <v>0.02090870511668394</v>
      </c>
      <c r="C26" s="5" t="s">
        <v>51</v>
      </c>
      <c r="D26" s="5" t="s">
        <v>52</v>
      </c>
    </row>
    <row r="27" spans="1:4">
      <c r="A27" s="5" t="s">
        <v>53</v>
      </c>
      <c r="B27" s="7">
        <f>B13-T.INV.2T(1-$B$8,B21)*B16</f>
        <v>9.670144109117576</v>
      </c>
      <c r="C27" s="5" t="s">
        <v>54</v>
      </c>
      <c r="D27" s="5" t="s">
        <v>100</v>
      </c>
    </row>
    <row r="28" spans="1:4">
      <c r="A28" s="5" t="s">
        <v>56</v>
      </c>
      <c r="B28" s="7">
        <f>B13+T.INV.2T(1-$B$8,B21)*B16</f>
        <v>15.66318922421576</v>
      </c>
      <c r="C28" s="5" t="s">
        <v>101</v>
      </c>
      <c r="D28" s="5" t="s">
        <v>58</v>
      </c>
    </row>
    <row r="29" spans="1:4">
      <c r="A29" s="5" t="s">
        <v>59</v>
      </c>
      <c r="B29" s="8" t="str">
        <f>IF(ABS(B17)&gt;B22,"Reject H0","Fail to reject H0")</f>
        <v>Reject H0</v>
      </c>
      <c r="C29" s="5" t="s">
        <v>102</v>
      </c>
      <c r="D29" s="5" t="s">
        <v>103</v>
      </c>
    </row>
    <row r="31" spans="1:4">
      <c r="A31" s="3" t="s">
        <v>104</v>
      </c>
      <c r="B31" s="3"/>
      <c r="C31" s="3"/>
      <c r="D31" s="3"/>
    </row>
    <row r="32" spans="1:4">
      <c r="A32" s="4" t="s">
        <v>17</v>
      </c>
      <c r="B32" s="4" t="s">
        <v>18</v>
      </c>
      <c r="C32" s="4" t="s">
        <v>19</v>
      </c>
      <c r="D32" s="4" t="s">
        <v>20</v>
      </c>
    </row>
    <row r="33" spans="1:4">
      <c r="A33" s="5" t="s">
        <v>70</v>
      </c>
      <c r="B33" s="7">
        <f>(B13-$B$6)/B15</f>
        <v>0.7774641467912634</v>
      </c>
      <c r="C33" s="5" t="s">
        <v>105</v>
      </c>
      <c r="D33" s="5" t="s">
        <v>72</v>
      </c>
    </row>
    <row r="34" spans="1:4">
      <c r="A34" s="5" t="s">
        <v>73</v>
      </c>
      <c r="B34" s="8" t="str">
        <f>IF(ABS(B33)&lt;0.2,"negligible",IF(ABS(B33)&lt;0.5,"small",IF(ABS(B33)&lt;0.8,"medium","large")))</f>
        <v>medium</v>
      </c>
      <c r="C34" s="5" t="s">
        <v>106</v>
      </c>
      <c r="D34" s="5" t="s">
        <v>75</v>
      </c>
    </row>
    <row r="35" spans="1:4" ht="32" customHeight="1">
      <c r="A35" s="5" t="s">
        <v>76</v>
      </c>
      <c r="B35" s="5" t="str">
        <f>"Students studied more than the national average of "&amp;TEXT($B$6,"0")&amp;" hours, M = "&amp;TEXT(B13,"0.00")&amp;", SD = "&amp;TEXT(B15,"0.00")&amp;", t("&amp;B21&amp;") = "&amp;TEXT(B17,"0.00")&amp;", p = "&amp;TEXT(B26,"0.000")&amp;", d = "&amp;TEXT(B33,"0.00")&amp;"."</f>
        <v>Students studied more than the national average of 9 hours, M = 12.67, SD = 4.72, t(11) = 2.69, p = .021, d = 0.78.</v>
      </c>
      <c r="C35" s="5"/>
      <c r="D35" s="5"/>
    </row>
  </sheetData>
  <mergeCells count="6">
    <mergeCell ref="A4:D4"/>
    <mergeCell ref="A10:D10"/>
    <mergeCell ref="A19:D19"/>
    <mergeCell ref="A24:D24"/>
    <mergeCell ref="A31:D31"/>
    <mergeCell ref="B35:D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2.7109375" customWidth="1"/>
    <col min="2" max="2" width="14.7109375" customWidth="1"/>
  </cols>
  <sheetData>
    <row r="1" spans="1:4">
      <c r="A1" s="4" t="s">
        <v>80</v>
      </c>
      <c r="B1" s="4" t="s">
        <v>107</v>
      </c>
      <c r="D1" s="2" t="s">
        <v>108</v>
      </c>
    </row>
    <row r="2" spans="1:4">
      <c r="A2">
        <v>1</v>
      </c>
      <c r="B2">
        <v>12</v>
      </c>
    </row>
    <row r="3" spans="1:4">
      <c r="A3">
        <v>2</v>
      </c>
      <c r="B3">
        <v>16</v>
      </c>
    </row>
    <row r="4" spans="1:4">
      <c r="A4">
        <v>3</v>
      </c>
      <c r="B4">
        <v>15</v>
      </c>
    </row>
    <row r="5" spans="1:4">
      <c r="A5">
        <v>4</v>
      </c>
      <c r="B5">
        <v>4</v>
      </c>
    </row>
    <row r="6" spans="1:4">
      <c r="A6">
        <v>5</v>
      </c>
      <c r="B6">
        <v>9</v>
      </c>
    </row>
    <row r="7" spans="1:4">
      <c r="A7">
        <v>6</v>
      </c>
      <c r="B7">
        <v>15</v>
      </c>
    </row>
    <row r="8" spans="1:4">
      <c r="A8">
        <v>7</v>
      </c>
      <c r="B8">
        <v>9</v>
      </c>
    </row>
    <row r="9" spans="1:4">
      <c r="A9">
        <v>8</v>
      </c>
      <c r="B9">
        <v>9</v>
      </c>
    </row>
    <row r="10" spans="1:4">
      <c r="A10">
        <v>9</v>
      </c>
      <c r="B10">
        <v>14</v>
      </c>
    </row>
    <row r="11" spans="1:4">
      <c r="A11">
        <v>10</v>
      </c>
      <c r="B11">
        <v>21</v>
      </c>
    </row>
    <row r="12" spans="1:4">
      <c r="A12">
        <v>11</v>
      </c>
      <c r="B12">
        <v>10</v>
      </c>
    </row>
    <row r="13" spans="1:4">
      <c r="A13">
        <v>12</v>
      </c>
      <c r="B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 5 Key</vt:lpstr>
      <vt:lpstr>Data</vt:lpstr>
      <vt:lpstr>Worked Example</vt:lpstr>
      <vt:lpstr>Worked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2026-10-25T16:02:26Z</dcterms:created>
  <dcterms:modified xsi:type="dcterms:W3CDTF">2026-10-25T16:02:26Z</dcterms:modified>
</cp:coreProperties>
</file>